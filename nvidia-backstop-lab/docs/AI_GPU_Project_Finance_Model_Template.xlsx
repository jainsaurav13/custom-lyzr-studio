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Operations" sheetId="2" state="visible" r:id="rId2"/>
    <sheet xmlns:r="http://schemas.openxmlformats.org/officeDocument/2006/relationships" name="Backstop" sheetId="3" state="visible" r:id="rId3"/>
    <sheet xmlns:r="http://schemas.openxmlformats.org/officeDocument/2006/relationships" name="Credit" sheetId="4" state="visible" r:id="rId4"/>
    <sheet xmlns:r="http://schemas.openxmlformats.org/officeDocument/2006/relationships" name="Equity 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GPUs</t>
        </is>
      </c>
      <c r="B2" t="n">
        <v>20000</v>
      </c>
    </row>
    <row r="3">
      <c r="A3" t="inlineStr">
        <is>
          <t>GPU Cost</t>
        </is>
      </c>
      <c r="B3" t="n">
        <v>30000</v>
      </c>
    </row>
    <row r="4">
      <c r="A4" t="inlineStr">
        <is>
          <t>Other CapEx</t>
        </is>
      </c>
      <c r="B4" t="n">
        <v>400000000</v>
      </c>
    </row>
    <row r="5">
      <c r="A5" t="inlineStr">
        <is>
          <t>Debt %</t>
        </is>
      </c>
      <c r="B5" t="n">
        <v>0.75</v>
      </c>
    </row>
    <row r="6">
      <c r="A6" t="inlineStr">
        <is>
          <t>Interest Rate</t>
        </is>
      </c>
      <c r="B6" t="n">
        <v>0.08</v>
      </c>
    </row>
    <row r="7">
      <c r="A7" t="inlineStr">
        <is>
          <t>Loan Tenor (yrs)</t>
        </is>
      </c>
      <c r="B7" t="n">
        <v>6</v>
      </c>
    </row>
    <row r="8">
      <c r="A8" t="inlineStr">
        <is>
          <t>Utilization</t>
        </is>
      </c>
      <c r="B8" t="n">
        <v>0.75</v>
      </c>
    </row>
    <row r="9">
      <c r="A9" t="inlineStr">
        <is>
          <t>Rental $/GPU/hr</t>
        </is>
      </c>
      <c r="B9" t="n">
        <v>4</v>
      </c>
    </row>
    <row r="10">
      <c r="A10" t="inlineStr">
        <is>
          <t>Hours/Year</t>
        </is>
      </c>
      <c r="B10" t="n">
        <v>8760</v>
      </c>
    </row>
    <row r="11">
      <c r="A11" t="inlineStr">
        <is>
          <t>Opex % Revenue</t>
        </is>
      </c>
      <c r="B11" t="n">
        <v>0.25</v>
      </c>
    </row>
    <row r="12">
      <c r="A12" t="inlineStr">
        <is>
          <t>Nvidia Floor Utilization</t>
        </is>
      </c>
      <c r="B12" t="n">
        <v>0.5</v>
      </c>
    </row>
    <row r="13">
      <c r="A13" t="inlineStr">
        <is>
          <t>Revenue Share Above Floor</t>
        </is>
      </c>
      <c r="B13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GPU CapEx</t>
        </is>
      </c>
      <c r="B1" s="1">
        <f>Assumptions!B2*Assumptions!B3</f>
        <v/>
      </c>
    </row>
    <row r="2">
      <c r="A2" t="inlineStr">
        <is>
          <t>Total CapEx</t>
        </is>
      </c>
      <c r="B2">
        <f>B1+Assumptions!B4</f>
        <v/>
      </c>
    </row>
    <row r="3">
      <c r="A3" t="inlineStr">
        <is>
          <t>Debt</t>
        </is>
      </c>
      <c r="B3">
        <f>B2*Assumptions!B5</f>
        <v/>
      </c>
    </row>
    <row r="4">
      <c r="A4" t="inlineStr">
        <is>
          <t>Equity</t>
        </is>
      </c>
      <c r="B4">
        <f>B2-B3</f>
        <v/>
      </c>
    </row>
    <row r="5">
      <c r="A5" t="inlineStr">
        <is>
          <t>Annual Revenue</t>
        </is>
      </c>
      <c r="B5">
        <f>Assumptions!B2*Assumptions!B10*Assumptions!B8*Assumptions!B9</f>
        <v/>
      </c>
    </row>
    <row r="6">
      <c r="A6" t="inlineStr">
        <is>
          <t>Operating Expense</t>
        </is>
      </c>
      <c r="B6">
        <f>B5*Assumptions!B11</f>
        <v/>
      </c>
    </row>
    <row r="7">
      <c r="A7" t="inlineStr">
        <is>
          <t>EBITDA</t>
        </is>
      </c>
      <c r="B7">
        <f>B5-B6</f>
        <v/>
      </c>
    </row>
    <row r="8">
      <c r="A8" t="inlineStr">
        <is>
          <t>Interest Expense</t>
        </is>
      </c>
      <c r="B8">
        <f>B3*Assumptions!B6</f>
        <v/>
      </c>
    </row>
    <row r="9">
      <c r="A9" t="inlineStr">
        <is>
          <t>Principal / Year</t>
        </is>
      </c>
      <c r="B9">
        <f>B3/Assumptions!B7</f>
        <v/>
      </c>
    </row>
    <row r="10">
      <c r="A10" t="inlineStr">
        <is>
          <t>Cash After Debt Service</t>
        </is>
      </c>
      <c r="B10">
        <f>B7-B8-B9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</t>
        </is>
      </c>
    </row>
    <row r="2">
      <c r="A2" t="inlineStr">
        <is>
          <t>Actual Utilization</t>
        </is>
      </c>
      <c r="B2">
        <f>Assumptions!B8</f>
        <v/>
      </c>
    </row>
    <row r="3">
      <c r="A3" t="inlineStr">
        <is>
          <t>Guaranteed Floor</t>
        </is>
      </c>
      <c r="B3">
        <f>Assumptions!B12</f>
        <v/>
      </c>
    </row>
    <row r="4">
      <c r="A4" t="inlineStr">
        <is>
          <t>Shortfall</t>
        </is>
      </c>
      <c r="B4">
        <f>MAX(0,B3-B2)</f>
        <v/>
      </c>
    </row>
    <row r="5">
      <c r="A5" t="inlineStr">
        <is>
          <t>Backstop Revenue</t>
        </is>
      </c>
      <c r="B5">
        <f>B4*Assumptions!B2*Assumptions!B10*Assumptions!B9</f>
        <v/>
      </c>
    </row>
    <row r="6">
      <c r="A6" t="inlineStr">
        <is>
          <t>Upside Share to Nvidia</t>
        </is>
      </c>
      <c r="B6">
        <f>MAX(0,B2-B3)*Assumptions!B2*Assumptions!B10*Assumptions!B9*Assumptions!B13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Cash Available for Debt Service</t>
        </is>
      </c>
      <c r="B2">
        <f>Operations!B10+Operations!B8+Operations!B9</f>
        <v/>
      </c>
    </row>
    <row r="3">
      <c r="A3" t="inlineStr">
        <is>
          <t>Debt Service</t>
        </is>
      </c>
      <c r="B3">
        <f>Operations!B8+Operations!B9</f>
        <v/>
      </c>
    </row>
    <row r="4">
      <c r="A4" t="inlineStr">
        <is>
          <t>DSCR</t>
        </is>
      </c>
      <c r="B4">
        <f>B2/B3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Equity Invested</t>
        </is>
      </c>
      <c r="B2">
        <f>Operations!B4</f>
        <v/>
      </c>
    </row>
    <row r="3">
      <c r="A3" t="inlineStr">
        <is>
          <t>Year 1 Cash Flow</t>
        </is>
      </c>
      <c r="B3">
        <f>Operations!B10+Backstop!B5-Backstop!B6</f>
        <v/>
      </c>
    </row>
    <row r="4">
      <c r="A4" t="inlineStr">
        <is>
          <t>Simple Cash Yield</t>
        </is>
      </c>
      <c r="B4">
        <f>B3/B2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2026-07-29T01:37:35Z</dcterms:created>
  <dcterms:modified xmlns:dcterms="http://purl.org/dc/terms/" xmlns:xsi="http://www.w3.org/2001/XMLSchema-instance" xsi:type="dcterms:W3CDTF">2026-07-29T01:37:35Z</dcterms:modified>
</cp:coreProperties>
</file>